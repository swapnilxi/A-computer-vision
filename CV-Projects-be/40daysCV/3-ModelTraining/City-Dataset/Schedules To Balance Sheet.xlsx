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nesh\2024-25\15th Finance\Grant data\"/>
    </mc:Choice>
  </mc:AlternateContent>
  <xr:revisionPtr revIDLastSave="0" documentId="8_{681474AD-3E96-45E9-AA7B-FC433DD4EB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2-23 FINA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" l="1"/>
  <c r="D26" i="2"/>
  <c r="D11" i="2"/>
  <c r="D17" i="2" l="1"/>
  <c r="D70" i="1" l="1"/>
  <c r="D55" i="1" l="1"/>
</calcChain>
</file>

<file path=xl/sharedStrings.xml><?xml version="1.0" encoding="utf-8"?>
<sst xmlns="http://schemas.openxmlformats.org/spreadsheetml/2006/main" count="112" uniqueCount="69">
  <si>
    <t>Amount in Rs.</t>
  </si>
  <si>
    <t>Remarks</t>
  </si>
  <si>
    <t>GL</t>
  </si>
  <si>
    <t>Names of Schemes</t>
  </si>
  <si>
    <t>2022-23</t>
  </si>
  <si>
    <t>Grant</t>
  </si>
  <si>
    <t>FUND-RECD-MLA DPDC-CORONA VIRUS-CONST-152-BORIVLI</t>
  </si>
  <si>
    <t>FUND-RECD-MLA DPDC-CORONA VIRUS-CONST-153 DAHISAR</t>
  </si>
  <si>
    <t>FUND-RECD-MLA DPDC-CORONA VIRUS-CONS-154-MAGATHANE</t>
  </si>
  <si>
    <t>FUND-RECD-MLA DPDC-CORONA VIRUS-CONST-160-KANDIVLI</t>
  </si>
  <si>
    <t>FUND-RECD-MLA DPDC-CORONA VIRUS-CONST-162-MALAD-W</t>
  </si>
  <si>
    <t>FUND-RECD-MLA DPDC-CORONA VIRUS-CONST-158-JOGESHWA</t>
  </si>
  <si>
    <t>FUND-RECD-MLA DPDC-CORONA VIRUS-CONST-163-GOREGOAN</t>
  </si>
  <si>
    <t>FUND-RECD-MLA DPDC-CORONA VIRUS-CONS-166-ANDHERI-E</t>
  </si>
  <si>
    <t>FUND-RECD-MLA DPDC-CORONA VIRUS-CONS-156-VIKROLI</t>
  </si>
  <si>
    <t>FUND-RECD-MLA DPDC-CORONA VIRUS-CONS-157-BHANDUP</t>
  </si>
  <si>
    <t>FUND-RECD-MLA DPDC-CORONA VIRUS-CONS-169-GHAKOP-W</t>
  </si>
  <si>
    <t>FUND-RECD-MLA DPDC-CORONA VIRUS-CONS-170-GHATKOP-E</t>
  </si>
  <si>
    <t>FUND-RECD-MLA DPDC-CORONA VIRUS-CONS-171-MANKURD</t>
  </si>
  <si>
    <t>FUND-RECD-MLA DPDC-CORONA VIRUS-CONS-167-VILEPARLE</t>
  </si>
  <si>
    <t>FUND-RECD-MLA DPDC-CORONA VIRUS-CONS-168-CHANDIVLI</t>
  </si>
  <si>
    <t>FUND-RECD-MLA DPDC-CORONA VIRUS-CONS-174-KURLA</t>
  </si>
  <si>
    <t>FUND-RECD-MLA DPDC-CORONA VIRUS-CONS-177-VANDRE-W</t>
  </si>
  <si>
    <t>FUND-RECD-MLA DPDC-CORONA VIRUS-CONS-172-ANUSHAKTI</t>
  </si>
  <si>
    <t>FUND-RECD-MLA DPDC-CORONA VIRUS-CONS-173-CHEMBUR</t>
  </si>
  <si>
    <t>FUND-RECD-MLA DPDC-CORONA VIRUS-CONS-183-SEWRI</t>
  </si>
  <si>
    <t>FUND-RECD-MLA DPDC-CORONA VIRUS-CONS-178-DHARAVI</t>
  </si>
  <si>
    <t>FUND-RECD-MLC DPDC-CORONA VIRUS-CONS-SUBASH DESAI</t>
  </si>
  <si>
    <t>FUND-RECD-MLC DPDC-CORONA VIRUS-CONS-VIDYA CHAVAN</t>
  </si>
  <si>
    <t>FUND-RECD-MLC DPDC-CORONA VIRUS-CONS-VILAS POTNIS</t>
  </si>
  <si>
    <t>FUND-RECD-MLC DPDC-CORONA VIRUS-CONS-RAMDAS KADAM</t>
  </si>
  <si>
    <t>FUND-RECD-MLC DPDC-CORONA VIRUS-CONS-R N SINGH</t>
  </si>
  <si>
    <t>FUND-RECD-MLC DPDC-CORONA VIRUS-CONS-KAPIL PATIL</t>
  </si>
  <si>
    <t>FUND-RECD-MINISTRY FROM FISHERIES</t>
  </si>
  <si>
    <t>DPDC-U.THAKRE-JAMBORI-RAIN HARVES</t>
  </si>
  <si>
    <t>DPDC-A.THAKRE-JAMBORI-RAIN HARVESTING</t>
  </si>
  <si>
    <t>BEAUTIFICATION OF TR SIGNAL IN SUBURB</t>
  </si>
  <si>
    <t>FUND-FRM MINORITY CONCNTRTN URBAN AREA DVLPMNT PRG</t>
  </si>
  <si>
    <t>GRANT FROM STATEHEALTHSOC. FOR MDIH&amp;FW</t>
  </si>
  <si>
    <t>GRNT RCVD FROM ST. GOVT - NPR</t>
  </si>
  <si>
    <t>FUND FROM ST.GOVT.FOR BKK DEVELOPMENT</t>
  </si>
  <si>
    <t>AESTHETIC IMPROVEMENT OF MUMBAI (BEAUTIFICATION)</t>
  </si>
  <si>
    <t>SPL ASSISTANCE FROM GOVT -DPDC</t>
  </si>
  <si>
    <t>AESTHETIC IMP-MUMBAI BEAUTIFICATION DPDC</t>
  </si>
  <si>
    <t>SPL AST REC GOVT DEV WK DPDC</t>
  </si>
  <si>
    <t>TRUST FUND - MLA</t>
  </si>
  <si>
    <t>TRUST FUND - M.P.</t>
  </si>
  <si>
    <t>Gom. Grant For AAPADA Mitra Training</t>
  </si>
  <si>
    <t>DPDC Fund for Procurement of Khilkhilat Ambulance</t>
  </si>
  <si>
    <t>SMMU_Individual Household Latrines (IHL)</t>
  </si>
  <si>
    <t>SMMU CommunityToilet</t>
  </si>
  <si>
    <t>SMMU_Information Education Communication Public Aw</t>
  </si>
  <si>
    <t>Legacy Waste Remmediation, SWM-SMMU-02</t>
  </si>
  <si>
    <t>Total</t>
  </si>
  <si>
    <t>GRANT RECEIVED FROM MPCB FOR NCAP FUND</t>
  </si>
  <si>
    <t>CENTRAL ZOO AUTH.</t>
  </si>
  <si>
    <t>15th Finance Commission Air Quality Grant</t>
  </si>
  <si>
    <t>15th Finance Commission Water MGMT &amp; SWM Grant</t>
  </si>
  <si>
    <t>(i) Grant Received from Govt of Maharashtra</t>
  </si>
  <si>
    <t>See Sch B-8</t>
  </si>
  <si>
    <t>See Sch B-9</t>
  </si>
  <si>
    <t>Capital Grants (See Sch B-4)</t>
  </si>
  <si>
    <t>(ii) Grant Received from Govt of India</t>
  </si>
  <si>
    <t>Scheme wise Details of Grants received in 2022-23</t>
  </si>
  <si>
    <t>2023-24</t>
  </si>
  <si>
    <t>Capacity Building and AOE SBM-02</t>
  </si>
  <si>
    <t>DPDC -Gym On Wheels</t>
  </si>
  <si>
    <t>Scheme wise Details of Grants received in 2023-24</t>
  </si>
  <si>
    <t>FUND FROM ST.GOVT.FOR BIODIVERSITY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</si>
</sst>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</font>
    <font>
      <sz val="9"/>
      <color theme="1"/>
      <name val="Tahoma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8" fillId="0" borderId="0"/>
  </cellStyleXfs>
  <cellXfs count="51">
    <xf numFmtId="0" fontId="0" fillId="0" borderId="0" xfId="0"/>
    <xf numFmtId="0" fontId="4" fillId="0" borderId="0" xfId="0" applyFont="1"/>
    <xf numFmtId="0" fontId="3" fillId="0" borderId="0" xfId="0" applyFont="1"/>
    <xf numFmtId="0" fontId="4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/>
    <xf numFmtId="2" fontId="4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/>
    <xf numFmtId="0" fontId="3" fillId="0" borderId="0" xfId="0" applyFont="1" applyAlignment="1">
      <alignment horizontal="left"/>
    </xf>
    <xf numFmtId="2" fontId="3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2" fontId="7" fillId="0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4" fontId="4" fillId="0" borderId="1" xfId="0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6" fillId="0" borderId="1" xfId="0" applyFont="1" applyBorder="1"/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1" xfId="0" applyFont="1" applyBorder="1"/>
    <xf numFmtId="1" fontId="11" fillId="0" borderId="1" xfId="0" applyNumberFormat="1" applyFont="1" applyBorder="1" applyAlignment="1">
      <alignment horizontal="right" vertical="top" shrinkToFit="1"/>
    </xf>
    <xf numFmtId="0" fontId="12" fillId="0" borderId="1" xfId="0" applyFont="1" applyBorder="1" applyAlignment="1">
      <alignment vertical="top" wrapText="1"/>
    </xf>
    <xf numFmtId="0" fontId="4" fillId="0" borderId="1" xfId="0" applyFont="1" applyFill="1" applyBorder="1"/>
    <xf numFmtId="4" fontId="7" fillId="0" borderId="0" xfId="3" applyNumberFormat="1" applyFont="1" applyFill="1"/>
    <xf numFmtId="4" fontId="3" fillId="0" borderId="1" xfId="0" applyNumberFormat="1" applyFont="1" applyBorder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7" xfId="3" xr:uid="{621CDEF8-2DBE-4C84-894A-FCD7929B0B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0"/>
  <sheetViews>
    <sheetView tabSelected="1" workbookViewId="0">
      <selection activeCell="E47" sqref="E47:E54"/>
    </sheetView>
  </sheetViews>
  <sheetFormatPr defaultRowHeight="15.75" x14ac:dyDescent="0.25"/>
  <cols>
    <col min="1" max="1" width="9.140625" style="1"/>
    <col min="2" max="2" width="12.42578125" style="1" customWidth="1"/>
    <col min="3" max="3" width="63.140625" style="1" bestFit="1" customWidth="1"/>
    <col min="4" max="4" width="15.42578125" style="1" bestFit="1" customWidth="1"/>
    <col min="5" max="5" width="21.42578125" style="1" customWidth="1"/>
    <col min="6" max="6" width="14.28515625" style="1" bestFit="1" customWidth="1"/>
    <col min="7" max="16384" width="9.140625" style="1"/>
  </cols>
  <sheetData>
    <row r="2" spans="2:5" x14ac:dyDescent="0.25">
      <c r="B2" s="15" t="s">
        <v>63</v>
      </c>
      <c r="C2" s="15"/>
      <c r="D2" s="15"/>
    </row>
    <row r="3" spans="2:5" x14ac:dyDescent="0.25">
      <c r="B3" s="2"/>
    </row>
    <row r="4" spans="2:5" x14ac:dyDescent="0.25">
      <c r="B4" s="16" t="s">
        <v>58</v>
      </c>
      <c r="C4" s="16"/>
    </row>
    <row r="5" spans="2:5" x14ac:dyDescent="0.25">
      <c r="B5" s="3"/>
      <c r="C5" s="3"/>
      <c r="D5" s="17" t="s">
        <v>0</v>
      </c>
      <c r="E5" s="17"/>
    </row>
    <row r="6" spans="2:5" x14ac:dyDescent="0.25">
      <c r="B6" s="14" t="s">
        <v>2</v>
      </c>
      <c r="C6" s="14" t="s">
        <v>3</v>
      </c>
      <c r="D6" s="4" t="s">
        <v>4</v>
      </c>
      <c r="E6" s="23" t="s">
        <v>1</v>
      </c>
    </row>
    <row r="7" spans="2:5" x14ac:dyDescent="0.25">
      <c r="B7" s="14"/>
      <c r="C7" s="14"/>
      <c r="D7" s="4" t="s">
        <v>5</v>
      </c>
      <c r="E7" s="24"/>
    </row>
    <row r="8" spans="2:5" x14ac:dyDescent="0.25">
      <c r="B8" s="5">
        <v>341000022</v>
      </c>
      <c r="C8" s="6" t="s">
        <v>6</v>
      </c>
      <c r="D8" s="7">
        <v>0</v>
      </c>
      <c r="E8" s="20" t="s">
        <v>59</v>
      </c>
    </row>
    <row r="9" spans="2:5" x14ac:dyDescent="0.25">
      <c r="B9" s="5">
        <v>341000023</v>
      </c>
      <c r="C9" s="6" t="s">
        <v>7</v>
      </c>
      <c r="D9" s="7">
        <v>0</v>
      </c>
      <c r="E9" s="21"/>
    </row>
    <row r="10" spans="2:5" x14ac:dyDescent="0.25">
      <c r="B10" s="5">
        <v>341000024</v>
      </c>
      <c r="C10" s="6" t="s">
        <v>8</v>
      </c>
      <c r="D10" s="7">
        <v>0</v>
      </c>
      <c r="E10" s="21"/>
    </row>
    <row r="11" spans="2:5" x14ac:dyDescent="0.25">
      <c r="B11" s="5">
        <v>341000025</v>
      </c>
      <c r="C11" s="6" t="s">
        <v>9</v>
      </c>
      <c r="D11" s="7">
        <v>0</v>
      </c>
      <c r="E11" s="21"/>
    </row>
    <row r="12" spans="2:5" x14ac:dyDescent="0.25">
      <c r="B12" s="5">
        <v>341000027</v>
      </c>
      <c r="C12" s="6" t="s">
        <v>10</v>
      </c>
      <c r="D12" s="7">
        <v>0</v>
      </c>
      <c r="E12" s="21"/>
    </row>
    <row r="13" spans="2:5" x14ac:dyDescent="0.25">
      <c r="B13" s="5">
        <v>341000028</v>
      </c>
      <c r="C13" s="6" t="s">
        <v>11</v>
      </c>
      <c r="D13" s="7">
        <v>0</v>
      </c>
      <c r="E13" s="21"/>
    </row>
    <row r="14" spans="2:5" x14ac:dyDescent="0.25">
      <c r="B14" s="5">
        <v>341000030</v>
      </c>
      <c r="C14" s="6" t="s">
        <v>12</v>
      </c>
      <c r="D14" s="7">
        <v>0</v>
      </c>
      <c r="E14" s="21"/>
    </row>
    <row r="15" spans="2:5" x14ac:dyDescent="0.25">
      <c r="B15" s="5">
        <v>341000033</v>
      </c>
      <c r="C15" s="6" t="s">
        <v>13</v>
      </c>
      <c r="D15" s="7">
        <v>0</v>
      </c>
      <c r="E15" s="21"/>
    </row>
    <row r="16" spans="2:5" x14ac:dyDescent="0.25">
      <c r="B16" s="5">
        <v>341000035</v>
      </c>
      <c r="C16" s="6" t="s">
        <v>14</v>
      </c>
      <c r="D16" s="7">
        <v>0</v>
      </c>
      <c r="E16" s="21"/>
    </row>
    <row r="17" spans="2:5" x14ac:dyDescent="0.25">
      <c r="B17" s="5">
        <v>341000036</v>
      </c>
      <c r="C17" s="6" t="s">
        <v>15</v>
      </c>
      <c r="D17" s="7">
        <v>0</v>
      </c>
      <c r="E17" s="21"/>
    </row>
    <row r="18" spans="2:5" x14ac:dyDescent="0.25">
      <c r="B18" s="5">
        <v>341000037</v>
      </c>
      <c r="C18" s="6" t="s">
        <v>16</v>
      </c>
      <c r="D18" s="7">
        <v>0</v>
      </c>
      <c r="E18" s="21"/>
    </row>
    <row r="19" spans="2:5" x14ac:dyDescent="0.25">
      <c r="B19" s="5">
        <v>341000038</v>
      </c>
      <c r="C19" s="6" t="s">
        <v>17</v>
      </c>
      <c r="D19" s="7">
        <v>0</v>
      </c>
      <c r="E19" s="21"/>
    </row>
    <row r="20" spans="2:5" x14ac:dyDescent="0.25">
      <c r="B20" s="5">
        <v>341000039</v>
      </c>
      <c r="C20" s="6" t="s">
        <v>18</v>
      </c>
      <c r="D20" s="7">
        <v>0</v>
      </c>
      <c r="E20" s="21"/>
    </row>
    <row r="21" spans="2:5" x14ac:dyDescent="0.25">
      <c r="B21" s="5">
        <v>341000040</v>
      </c>
      <c r="C21" s="6" t="s">
        <v>19</v>
      </c>
      <c r="D21" s="7">
        <v>0</v>
      </c>
      <c r="E21" s="21"/>
    </row>
    <row r="22" spans="2:5" x14ac:dyDescent="0.25">
      <c r="B22" s="5">
        <v>341000041</v>
      </c>
      <c r="C22" s="6" t="s">
        <v>20</v>
      </c>
      <c r="D22" s="7">
        <v>0</v>
      </c>
      <c r="E22" s="21"/>
    </row>
    <row r="23" spans="2:5" x14ac:dyDescent="0.25">
      <c r="B23" s="5">
        <v>341000042</v>
      </c>
      <c r="C23" s="6" t="s">
        <v>21</v>
      </c>
      <c r="D23" s="7">
        <v>0</v>
      </c>
      <c r="E23" s="21"/>
    </row>
    <row r="24" spans="2:5" x14ac:dyDescent="0.25">
      <c r="B24" s="5">
        <v>341000045</v>
      </c>
      <c r="C24" s="6" t="s">
        <v>22</v>
      </c>
      <c r="D24" s="7">
        <v>0</v>
      </c>
      <c r="E24" s="21"/>
    </row>
    <row r="25" spans="2:5" x14ac:dyDescent="0.25">
      <c r="B25" s="5">
        <v>341000046</v>
      </c>
      <c r="C25" s="6" t="s">
        <v>23</v>
      </c>
      <c r="D25" s="7">
        <v>0</v>
      </c>
      <c r="E25" s="21"/>
    </row>
    <row r="26" spans="2:5" x14ac:dyDescent="0.25">
      <c r="B26" s="5">
        <v>341000047</v>
      </c>
      <c r="C26" s="6" t="s">
        <v>24</v>
      </c>
      <c r="D26" s="7">
        <v>0</v>
      </c>
      <c r="E26" s="21"/>
    </row>
    <row r="27" spans="2:5" x14ac:dyDescent="0.25">
      <c r="B27" s="5">
        <v>341000048</v>
      </c>
      <c r="C27" s="6" t="s">
        <v>25</v>
      </c>
      <c r="D27" s="7">
        <v>0</v>
      </c>
      <c r="E27" s="21"/>
    </row>
    <row r="28" spans="2:5" x14ac:dyDescent="0.25">
      <c r="B28" s="5">
        <v>341000049</v>
      </c>
      <c r="C28" s="6" t="s">
        <v>26</v>
      </c>
      <c r="D28" s="7">
        <v>0</v>
      </c>
      <c r="E28" s="21"/>
    </row>
    <row r="29" spans="2:5" x14ac:dyDescent="0.25">
      <c r="B29" s="5">
        <v>341000058</v>
      </c>
      <c r="C29" s="6" t="s">
        <v>27</v>
      </c>
      <c r="D29" s="7">
        <v>0</v>
      </c>
      <c r="E29" s="21"/>
    </row>
    <row r="30" spans="2:5" x14ac:dyDescent="0.25">
      <c r="B30" s="5">
        <v>341000060</v>
      </c>
      <c r="C30" s="6" t="s">
        <v>28</v>
      </c>
      <c r="D30" s="7">
        <v>0</v>
      </c>
      <c r="E30" s="21"/>
    </row>
    <row r="31" spans="2:5" x14ac:dyDescent="0.25">
      <c r="B31" s="5">
        <v>341000064</v>
      </c>
      <c r="C31" s="6" t="s">
        <v>29</v>
      </c>
      <c r="D31" s="7">
        <v>0</v>
      </c>
      <c r="E31" s="21"/>
    </row>
    <row r="32" spans="2:5" x14ac:dyDescent="0.25">
      <c r="B32" s="5">
        <v>341000066</v>
      </c>
      <c r="C32" s="6" t="s">
        <v>30</v>
      </c>
      <c r="D32" s="7">
        <v>0</v>
      </c>
      <c r="E32" s="21"/>
    </row>
    <row r="33" spans="2:6" x14ac:dyDescent="0.25">
      <c r="B33" s="5">
        <v>341000067</v>
      </c>
      <c r="C33" s="6" t="s">
        <v>31</v>
      </c>
      <c r="D33" s="7">
        <v>0</v>
      </c>
      <c r="E33" s="21"/>
    </row>
    <row r="34" spans="2:6" x14ac:dyDescent="0.25">
      <c r="B34" s="5">
        <v>341000070</v>
      </c>
      <c r="C34" s="6" t="s">
        <v>32</v>
      </c>
      <c r="D34" s="7">
        <v>25</v>
      </c>
      <c r="E34" s="21"/>
    </row>
    <row r="35" spans="2:6" x14ac:dyDescent="0.25">
      <c r="B35" s="5">
        <v>341000073</v>
      </c>
      <c r="C35" s="6" t="s">
        <v>33</v>
      </c>
      <c r="D35" s="7">
        <v>0</v>
      </c>
      <c r="E35" s="21"/>
    </row>
    <row r="36" spans="2:6" x14ac:dyDescent="0.25">
      <c r="B36" s="5">
        <v>341000075</v>
      </c>
      <c r="C36" s="6" t="s">
        <v>34</v>
      </c>
      <c r="D36" s="7">
        <v>0</v>
      </c>
      <c r="E36" s="21"/>
    </row>
    <row r="37" spans="2:6" x14ac:dyDescent="0.25">
      <c r="B37" s="5">
        <v>341000077</v>
      </c>
      <c r="C37" s="6" t="s">
        <v>35</v>
      </c>
      <c r="D37" s="7">
        <v>0</v>
      </c>
      <c r="E37" s="21"/>
    </row>
    <row r="38" spans="2:6" x14ac:dyDescent="0.25">
      <c r="B38" s="5">
        <v>341000084</v>
      </c>
      <c r="C38" s="6" t="s">
        <v>36</v>
      </c>
      <c r="D38" s="7">
        <v>0</v>
      </c>
      <c r="E38" s="22"/>
    </row>
    <row r="39" spans="2:6" x14ac:dyDescent="0.25">
      <c r="B39" s="5">
        <v>350800416</v>
      </c>
      <c r="C39" s="6" t="s">
        <v>37</v>
      </c>
      <c r="D39" s="7">
        <v>0</v>
      </c>
      <c r="E39" s="20" t="s">
        <v>60</v>
      </c>
    </row>
    <row r="40" spans="2:6" x14ac:dyDescent="0.25">
      <c r="B40" s="5">
        <v>350800425</v>
      </c>
      <c r="C40" s="6" t="s">
        <v>38</v>
      </c>
      <c r="D40" s="7">
        <v>0</v>
      </c>
      <c r="E40" s="21"/>
    </row>
    <row r="41" spans="2:6" x14ac:dyDescent="0.25">
      <c r="B41" s="5">
        <v>350800427</v>
      </c>
      <c r="C41" s="6" t="s">
        <v>39</v>
      </c>
      <c r="D41" s="7">
        <v>7327404</v>
      </c>
      <c r="E41" s="21"/>
    </row>
    <row r="42" spans="2:6" x14ac:dyDescent="0.25">
      <c r="B42" s="5">
        <v>350800436</v>
      </c>
      <c r="C42" s="6" t="s">
        <v>40</v>
      </c>
      <c r="D42" s="7">
        <v>0</v>
      </c>
      <c r="E42" s="21"/>
    </row>
    <row r="43" spans="2:6" x14ac:dyDescent="0.25">
      <c r="B43" s="5">
        <v>350800439</v>
      </c>
      <c r="C43" s="6" t="s">
        <v>49</v>
      </c>
      <c r="D43" s="7">
        <v>3520000</v>
      </c>
      <c r="E43" s="21"/>
      <c r="F43" s="8"/>
    </row>
    <row r="44" spans="2:6" x14ac:dyDescent="0.25">
      <c r="B44" s="5">
        <v>350800440</v>
      </c>
      <c r="C44" s="6" t="s">
        <v>50</v>
      </c>
      <c r="D44" s="7">
        <v>51926380</v>
      </c>
      <c r="E44" s="21"/>
      <c r="F44" s="8"/>
    </row>
    <row r="45" spans="2:6" x14ac:dyDescent="0.25">
      <c r="B45" s="5">
        <v>350800441</v>
      </c>
      <c r="C45" s="6" t="s">
        <v>51</v>
      </c>
      <c r="D45" s="7">
        <v>101200</v>
      </c>
      <c r="E45" s="21"/>
      <c r="F45" s="8"/>
    </row>
    <row r="46" spans="2:6" x14ac:dyDescent="0.25">
      <c r="B46" s="5">
        <v>350800445</v>
      </c>
      <c r="C46" s="6" t="s">
        <v>47</v>
      </c>
      <c r="D46" s="7">
        <v>10800000</v>
      </c>
      <c r="E46" s="22"/>
    </row>
    <row r="47" spans="2:6" x14ac:dyDescent="0.25">
      <c r="B47" s="5">
        <v>320100700</v>
      </c>
      <c r="C47" s="6" t="s">
        <v>41</v>
      </c>
      <c r="D47" s="7">
        <v>6959289</v>
      </c>
      <c r="E47" s="18" t="s">
        <v>61</v>
      </c>
    </row>
    <row r="48" spans="2:6" x14ac:dyDescent="0.25">
      <c r="B48" s="5">
        <v>320101001</v>
      </c>
      <c r="C48" s="6" t="s">
        <v>42</v>
      </c>
      <c r="D48" s="7">
        <v>0</v>
      </c>
      <c r="E48" s="25"/>
    </row>
    <row r="49" spans="2:9" x14ac:dyDescent="0.25">
      <c r="B49" s="5">
        <v>320101002</v>
      </c>
      <c r="C49" s="6" t="s">
        <v>43</v>
      </c>
      <c r="D49" s="7">
        <v>282872400</v>
      </c>
      <c r="E49" s="25"/>
    </row>
    <row r="50" spans="2:9" x14ac:dyDescent="0.25">
      <c r="B50" s="5">
        <v>320101003</v>
      </c>
      <c r="C50" s="6" t="s">
        <v>44</v>
      </c>
      <c r="D50" s="7">
        <v>105330900</v>
      </c>
      <c r="E50" s="25"/>
    </row>
    <row r="51" spans="2:9" x14ac:dyDescent="0.25">
      <c r="B51" s="5">
        <v>320101100</v>
      </c>
      <c r="C51" s="6" t="s">
        <v>45</v>
      </c>
      <c r="D51" s="7">
        <v>40000000</v>
      </c>
      <c r="E51" s="25"/>
    </row>
    <row r="52" spans="2:9" x14ac:dyDescent="0.25">
      <c r="B52" s="5">
        <v>320101200</v>
      </c>
      <c r="C52" s="6" t="s">
        <v>46</v>
      </c>
      <c r="D52" s="7">
        <v>0</v>
      </c>
      <c r="E52" s="25"/>
    </row>
    <row r="53" spans="2:9" x14ac:dyDescent="0.25">
      <c r="B53" s="5">
        <v>320200801</v>
      </c>
      <c r="C53" s="6" t="s">
        <v>48</v>
      </c>
      <c r="D53" s="7">
        <v>17110175</v>
      </c>
      <c r="E53" s="25"/>
      <c r="I53" s="8"/>
    </row>
    <row r="54" spans="2:9" x14ac:dyDescent="0.25">
      <c r="B54" s="5">
        <v>320200800</v>
      </c>
      <c r="C54" s="6" t="s">
        <v>52</v>
      </c>
      <c r="D54" s="7">
        <v>557854821.60000002</v>
      </c>
      <c r="E54" s="19"/>
      <c r="F54" s="8"/>
    </row>
    <row r="55" spans="2:9" x14ac:dyDescent="0.25">
      <c r="B55" s="9"/>
      <c r="C55" s="10" t="s">
        <v>53</v>
      </c>
      <c r="D55" s="11">
        <f>SUM(D8:D54)</f>
        <v>1083802594.5999999</v>
      </c>
      <c r="E55" s="9"/>
      <c r="H55" s="8"/>
      <c r="I55" s="8"/>
    </row>
    <row r="56" spans="2:9" x14ac:dyDescent="0.25">
      <c r="B56" s="2"/>
      <c r="C56" s="12"/>
      <c r="D56" s="13"/>
      <c r="E56" s="2"/>
      <c r="H56" s="8"/>
      <c r="I56" s="8"/>
    </row>
    <row r="58" spans="2:9" x14ac:dyDescent="0.25">
      <c r="B58" s="16" t="s">
        <v>62</v>
      </c>
      <c r="C58" s="16"/>
    </row>
    <row r="59" spans="2:9" x14ac:dyDescent="0.25">
      <c r="B59" s="3"/>
      <c r="C59" s="3"/>
      <c r="D59" s="26" t="s">
        <v>0</v>
      </c>
      <c r="E59" s="26"/>
    </row>
    <row r="60" spans="2:9" x14ac:dyDescent="0.25">
      <c r="B60" s="14" t="s">
        <v>2</v>
      </c>
      <c r="C60" s="14" t="s">
        <v>3</v>
      </c>
      <c r="D60" s="4" t="s">
        <v>4</v>
      </c>
      <c r="E60" s="23" t="s">
        <v>1</v>
      </c>
    </row>
    <row r="61" spans="2:9" x14ac:dyDescent="0.25">
      <c r="B61" s="14"/>
      <c r="C61" s="14"/>
      <c r="D61" s="4" t="s">
        <v>5</v>
      </c>
      <c r="E61" s="24"/>
    </row>
    <row r="62" spans="2:9" x14ac:dyDescent="0.25">
      <c r="B62" s="5">
        <v>341000016</v>
      </c>
      <c r="C62" s="6" t="s">
        <v>54</v>
      </c>
      <c r="D62" s="7">
        <v>1519</v>
      </c>
      <c r="E62" s="20" t="s">
        <v>59</v>
      </c>
    </row>
    <row r="63" spans="2:9" x14ac:dyDescent="0.25">
      <c r="B63" s="5">
        <v>341000068</v>
      </c>
      <c r="C63" s="6" t="s">
        <v>56</v>
      </c>
      <c r="D63" s="7">
        <v>2959482376</v>
      </c>
      <c r="E63" s="21"/>
    </row>
    <row r="64" spans="2:9" x14ac:dyDescent="0.25">
      <c r="B64" s="5">
        <v>341000069</v>
      </c>
      <c r="C64" s="6" t="s">
        <v>57</v>
      </c>
      <c r="D64" s="7">
        <v>3355674885</v>
      </c>
      <c r="E64" s="22"/>
    </row>
    <row r="65" spans="2:5" x14ac:dyDescent="0.25">
      <c r="B65" s="5">
        <v>350800439</v>
      </c>
      <c r="C65" s="6" t="s">
        <v>49</v>
      </c>
      <c r="D65" s="7">
        <v>5280000</v>
      </c>
      <c r="E65" s="20" t="s">
        <v>60</v>
      </c>
    </row>
    <row r="66" spans="2:5" x14ac:dyDescent="0.25">
      <c r="B66" s="5">
        <v>350800440</v>
      </c>
      <c r="C66" s="6" t="s">
        <v>50</v>
      </c>
      <c r="D66" s="7">
        <v>77889570</v>
      </c>
      <c r="E66" s="21"/>
    </row>
    <row r="67" spans="2:5" x14ac:dyDescent="0.25">
      <c r="B67" s="5">
        <v>350800441</v>
      </c>
      <c r="C67" s="6" t="s">
        <v>51</v>
      </c>
      <c r="D67" s="7">
        <v>151800</v>
      </c>
      <c r="E67" s="22"/>
    </row>
    <row r="68" spans="2:5" x14ac:dyDescent="0.25">
      <c r="B68" s="5">
        <v>320102700</v>
      </c>
      <c r="C68" s="6" t="s">
        <v>55</v>
      </c>
      <c r="D68" s="7">
        <v>220253</v>
      </c>
      <c r="E68" s="18" t="s">
        <v>61</v>
      </c>
    </row>
    <row r="69" spans="2:5" x14ac:dyDescent="0.25">
      <c r="B69" s="5">
        <v>320200800</v>
      </c>
      <c r="C69" s="6" t="s">
        <v>52</v>
      </c>
      <c r="D69" s="7">
        <v>836782232.39999998</v>
      </c>
      <c r="E69" s="19"/>
    </row>
    <row r="70" spans="2:5" x14ac:dyDescent="0.25">
      <c r="B70" s="9"/>
      <c r="C70" s="10" t="s">
        <v>53</v>
      </c>
      <c r="D70" s="11">
        <f>SUM(D62:D69)</f>
        <v>7235482635.3999996</v>
      </c>
      <c r="E70" s="11"/>
    </row>
  </sheetData>
  <mergeCells count="17">
    <mergeCell ref="E68:E69"/>
    <mergeCell ref="E65:E67"/>
    <mergeCell ref="E6:E7"/>
    <mergeCell ref="E8:E38"/>
    <mergeCell ref="E39:E46"/>
    <mergeCell ref="E47:E54"/>
    <mergeCell ref="E60:E61"/>
    <mergeCell ref="E62:E64"/>
    <mergeCell ref="D59:E59"/>
    <mergeCell ref="B60:B61"/>
    <mergeCell ref="C60:C61"/>
    <mergeCell ref="B2:D2"/>
    <mergeCell ref="B6:B7"/>
    <mergeCell ref="C6:C7"/>
    <mergeCell ref="B4:C4"/>
    <mergeCell ref="D5:E5"/>
    <mergeCell ref="B58:C58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1D4B-7C5E-41BF-9832-00BED78292A6}">
  <dimension ref="B2:E29"/>
  <sheetViews>
    <sheetView workbookViewId="0">
      <selection activeCell="D27" sqref="D27"/>
    </sheetView>
  </sheetViews>
  <sheetFormatPr defaultRowHeight="15" x14ac:dyDescent="0.25"/>
  <cols>
    <col min="2" max="2" width="15.28515625" customWidth="1"/>
    <col min="3" max="3" width="58.85546875" bestFit="1" customWidth="1"/>
    <col min="4" max="4" width="22.42578125" bestFit="1" customWidth="1"/>
    <col min="5" max="5" width="25.7109375" bestFit="1" customWidth="1"/>
  </cols>
  <sheetData>
    <row r="2" spans="2:5" x14ac:dyDescent="0.25">
      <c r="B2" s="38" t="s">
        <v>67</v>
      </c>
      <c r="C2" s="39"/>
      <c r="D2" s="39"/>
      <c r="E2" s="40"/>
    </row>
    <row r="4" spans="2:5" x14ac:dyDescent="0.25">
      <c r="B4" s="37" t="s">
        <v>58</v>
      </c>
      <c r="C4" s="37"/>
      <c r="D4" s="37"/>
      <c r="E4" s="37"/>
    </row>
    <row r="5" spans="2:5" x14ac:dyDescent="0.25">
      <c r="E5" s="43" t="s">
        <v>0</v>
      </c>
    </row>
    <row r="6" spans="2:5" x14ac:dyDescent="0.25">
      <c r="B6" s="37" t="s">
        <v>2</v>
      </c>
      <c r="C6" s="37" t="s">
        <v>3</v>
      </c>
      <c r="D6" s="37" t="s">
        <v>64</v>
      </c>
      <c r="E6" s="37" t="s">
        <v>1</v>
      </c>
    </row>
    <row r="7" spans="2:5" x14ac:dyDescent="0.25">
      <c r="B7" s="37"/>
      <c r="C7" s="37"/>
      <c r="D7" s="37"/>
      <c r="E7" s="37"/>
    </row>
    <row r="8" spans="2:5" ht="15.75" x14ac:dyDescent="0.25">
      <c r="B8" s="44">
        <v>341000088</v>
      </c>
      <c r="C8" s="45" t="s">
        <v>66</v>
      </c>
      <c r="D8" s="29">
        <v>20851547</v>
      </c>
      <c r="E8" s="30" t="s">
        <v>59</v>
      </c>
    </row>
    <row r="9" spans="2:5" ht="15.75" x14ac:dyDescent="0.25">
      <c r="B9" s="46">
        <v>350800437</v>
      </c>
      <c r="C9" s="47" t="s">
        <v>68</v>
      </c>
      <c r="D9" s="27">
        <v>374300</v>
      </c>
      <c r="E9" s="31" t="s">
        <v>60</v>
      </c>
    </row>
    <row r="10" spans="2:5" ht="15.75" x14ac:dyDescent="0.25">
      <c r="B10" s="28">
        <v>350800439</v>
      </c>
      <c r="C10" s="28" t="s">
        <v>49</v>
      </c>
      <c r="D10" s="29">
        <v>949000</v>
      </c>
      <c r="E10" s="31"/>
    </row>
    <row r="11" spans="2:5" ht="15.75" x14ac:dyDescent="0.25">
      <c r="B11" s="28">
        <v>350800441</v>
      </c>
      <c r="C11" s="28" t="s">
        <v>51</v>
      </c>
      <c r="D11" s="48">
        <f>101200+4125000.8</f>
        <v>4226200.8</v>
      </c>
      <c r="E11" s="31"/>
    </row>
    <row r="12" spans="2:5" ht="15.75" x14ac:dyDescent="0.25">
      <c r="B12" s="28">
        <v>320101002</v>
      </c>
      <c r="C12" s="28" t="s">
        <v>43</v>
      </c>
      <c r="D12" s="27">
        <v>680290013</v>
      </c>
      <c r="E12" s="31" t="s">
        <v>61</v>
      </c>
    </row>
    <row r="13" spans="2:5" ht="15.75" x14ac:dyDescent="0.25">
      <c r="B13" s="28">
        <v>320101003</v>
      </c>
      <c r="C13" s="28" t="s">
        <v>44</v>
      </c>
      <c r="D13" s="49">
        <v>24368300</v>
      </c>
      <c r="E13" s="31"/>
    </row>
    <row r="14" spans="2:5" ht="15.75" x14ac:dyDescent="0.25">
      <c r="B14" s="28">
        <v>320101100</v>
      </c>
      <c r="C14" s="28" t="s">
        <v>45</v>
      </c>
      <c r="D14" s="49">
        <v>7856294</v>
      </c>
      <c r="E14" s="31"/>
    </row>
    <row r="15" spans="2:5" ht="15.75" x14ac:dyDescent="0.25">
      <c r="B15" s="28">
        <v>320200800</v>
      </c>
      <c r="C15" s="28" t="s">
        <v>52</v>
      </c>
      <c r="D15" s="29">
        <v>383381838</v>
      </c>
      <c r="E15" s="31"/>
    </row>
    <row r="16" spans="2:5" ht="15.75" x14ac:dyDescent="0.25">
      <c r="B16" s="44">
        <v>320200802</v>
      </c>
      <c r="C16" s="32" t="s">
        <v>65</v>
      </c>
      <c r="D16" s="29">
        <v>66666.8</v>
      </c>
      <c r="E16" s="31"/>
    </row>
    <row r="17" spans="2:5" ht="18.75" x14ac:dyDescent="0.3">
      <c r="B17" s="35" t="s">
        <v>53</v>
      </c>
      <c r="C17" s="36"/>
      <c r="D17" s="50">
        <f>SUM(D8:D16)</f>
        <v>1122364159.5999999</v>
      </c>
      <c r="E17" s="33"/>
    </row>
    <row r="18" spans="2:5" ht="15.75" x14ac:dyDescent="0.25">
      <c r="D18" s="1"/>
    </row>
    <row r="19" spans="2:5" ht="15.75" x14ac:dyDescent="0.25">
      <c r="D19" s="1"/>
    </row>
    <row r="20" spans="2:5" ht="15.75" x14ac:dyDescent="0.25">
      <c r="B20" s="37" t="s">
        <v>62</v>
      </c>
      <c r="C20" s="37"/>
      <c r="D20" s="9"/>
      <c r="E20" s="37"/>
    </row>
    <row r="21" spans="2:5" ht="15.75" x14ac:dyDescent="0.25">
      <c r="B21" s="41"/>
      <c r="C21" s="41"/>
      <c r="D21" s="1"/>
      <c r="E21" s="42" t="s">
        <v>0</v>
      </c>
    </row>
    <row r="22" spans="2:5" ht="15.75" x14ac:dyDescent="0.25">
      <c r="B22" s="37" t="s">
        <v>2</v>
      </c>
      <c r="C22" s="37" t="s">
        <v>3</v>
      </c>
      <c r="D22" s="9" t="s">
        <v>64</v>
      </c>
      <c r="E22" s="37" t="s">
        <v>1</v>
      </c>
    </row>
    <row r="23" spans="2:5" ht="15.75" x14ac:dyDescent="0.25">
      <c r="B23" s="37"/>
      <c r="C23" s="37"/>
      <c r="D23" s="9"/>
      <c r="E23" s="37"/>
    </row>
    <row r="24" spans="2:5" ht="15.75" x14ac:dyDescent="0.25">
      <c r="B24" s="28">
        <v>350800439</v>
      </c>
      <c r="C24" s="28" t="s">
        <v>49</v>
      </c>
      <c r="D24" s="29">
        <v>1423500</v>
      </c>
      <c r="E24" s="31" t="s">
        <v>60</v>
      </c>
    </row>
    <row r="25" spans="2:5" ht="15.75" x14ac:dyDescent="0.25">
      <c r="B25" s="28">
        <v>350800440</v>
      </c>
      <c r="C25" s="28" t="s">
        <v>50</v>
      </c>
      <c r="D25" s="48">
        <v>0</v>
      </c>
      <c r="E25" s="31"/>
    </row>
    <row r="26" spans="2:5" ht="15.75" x14ac:dyDescent="0.25">
      <c r="B26" s="28">
        <v>350800441</v>
      </c>
      <c r="C26" s="28" t="s">
        <v>51</v>
      </c>
      <c r="D26" s="48">
        <f>151800+6187500</f>
        <v>6339300</v>
      </c>
      <c r="E26" s="31"/>
    </row>
    <row r="27" spans="2:5" ht="15.75" x14ac:dyDescent="0.25">
      <c r="B27" s="28">
        <v>320200800</v>
      </c>
      <c r="C27" s="28" t="s">
        <v>52</v>
      </c>
      <c r="D27" s="29">
        <v>575072757</v>
      </c>
      <c r="E27" s="34" t="s">
        <v>61</v>
      </c>
    </row>
    <row r="28" spans="2:5" ht="15.75" x14ac:dyDescent="0.25">
      <c r="B28" s="44">
        <v>320200802</v>
      </c>
      <c r="C28" s="32" t="s">
        <v>65</v>
      </c>
      <c r="D28" s="29">
        <v>100000</v>
      </c>
      <c r="E28" s="34"/>
    </row>
    <row r="29" spans="2:5" ht="18.75" x14ac:dyDescent="0.3">
      <c r="B29" s="35" t="s">
        <v>53</v>
      </c>
      <c r="C29" s="36"/>
      <c r="D29" s="50">
        <f>SUM(D24:D28)</f>
        <v>582935557</v>
      </c>
      <c r="E29" s="28"/>
    </row>
  </sheetData>
  <mergeCells count="7">
    <mergeCell ref="E27:E28"/>
    <mergeCell ref="B17:C17"/>
    <mergeCell ref="B29:C29"/>
    <mergeCell ref="B2:E2"/>
    <mergeCell ref="E24:E26"/>
    <mergeCell ref="E9:E11"/>
    <mergeCell ref="E12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2022-23 FINAL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4140957</dc:creator>
  <cp:lastModifiedBy>GANESH KONDU DAWANE</cp:lastModifiedBy>
  <dcterms:created xsi:type="dcterms:W3CDTF">2023-08-28T10:30:31Z</dcterms:created>
  <dcterms:modified xsi:type="dcterms:W3CDTF">2024-11-18T07:24:16Z</dcterms:modified>
</cp:coreProperties>
</file>